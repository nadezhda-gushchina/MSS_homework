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НАДЯ\Desktop\"/>
    </mc:Choice>
  </mc:AlternateContent>
  <bookViews>
    <workbookView xWindow="0" yWindow="0" windowWidth="23040" windowHeight="8244"/>
  </bookViews>
  <sheets>
    <sheet name="Лист1" sheetId="1" r:id="rId1"/>
  </sheet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 l="1"/>
  <c r="C4" i="1"/>
  <c r="C5" i="1" s="1"/>
  <c r="AD15" i="1" s="1"/>
  <c r="W15" i="1" l="1"/>
  <c r="H15" i="1"/>
  <c r="P15" i="1"/>
  <c r="X15" i="1"/>
  <c r="AF15" i="1"/>
  <c r="S15" i="1"/>
  <c r="J15" i="1"/>
  <c r="R15" i="1"/>
  <c r="Z15" i="1"/>
  <c r="AH15" i="1"/>
  <c r="AE15" i="1"/>
  <c r="O15" i="1"/>
  <c r="L15" i="1"/>
  <c r="T15" i="1"/>
  <c r="AB15" i="1"/>
  <c r="AA15" i="1"/>
  <c r="K15" i="1"/>
  <c r="N15" i="1"/>
  <c r="V15" i="1"/>
  <c r="AI15" i="1"/>
  <c r="AG15" i="1"/>
  <c r="AC15" i="1"/>
  <c r="Y15" i="1"/>
  <c r="U15" i="1"/>
  <c r="Q15" i="1"/>
  <c r="M15" i="1"/>
  <c r="I15" i="1"/>
  <c r="G15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<sst xmlns="http://schemas.openxmlformats.org/spreadsheetml/2006/main" count="12" uniqueCount="11">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</sst>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\ _₽_-;\-* #,##0.00\ _₽_-;_-* &quot;-&quot;??\ _₽_-;_-@_-"/>
    <numFmt numFmtId="164" formatCode="0.000"/>
    <numFmt numFmtId="165" formatCode="0.0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right"/>
    </xf>
    <xf numFmtId="164" fontId="0" fillId="0" borderId="1" xfId="1" applyNumberFormat="1" applyFont="1" applyBorder="1"/>
    <xf numFmtId="164" fontId="0" fillId="0" borderId="1" xfId="0" applyNumberFormat="1" applyBorder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358705161854769E-2"/>
          <c:y val="7.6423519976669588E-2"/>
          <c:w val="0.85541207349081361"/>
          <c:h val="0.89814814814814814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34-466E-99E4-72D4C1228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099224"/>
        <c:axId val="539982472"/>
      </c:scatterChart>
      <c:valAx>
        <c:axId val="35209922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9982472"/>
        <c:crosses val="autoZero"/>
        <c:crossBetween val="midCat"/>
      </c:valAx>
      <c:valAx>
        <c:axId val="539982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2099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99060</xdr:colOff>
      <xdr:row>18</xdr:row>
      <xdr:rowOff>121920</xdr:rowOff>
    </xdr:from>
    <xdr:to>
      <xdr:col>23</xdr:col>
      <xdr:colOff>403860</xdr:colOff>
      <xdr:row>33</xdr:row>
      <xdr:rowOff>121920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16</xdr:col>
      <xdr:colOff>83820</xdr:colOff>
      <xdr:row>18</xdr:row>
      <xdr:rowOff>68580</xdr:rowOff>
    </xdr:from>
    <xdr:ext cx="510540" cy="281808"/>
    <xdr:sp macro="" textlink="">
      <xdr:nvSpPr>
        <xdr:cNvPr id="8" name="TextBox 7"/>
        <xdr:cNvSpPr txBox="1"/>
      </xdr:nvSpPr>
      <xdr:spPr>
        <a:xfrm>
          <a:off x="9837420" y="3360420"/>
          <a:ext cx="510540" cy="28180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en-US" sz="1800" b="1" i="1"/>
            <a:t>T</a:t>
          </a:r>
          <a:r>
            <a:rPr lang="en-US" sz="1800" b="1" i="1" baseline="0"/>
            <a:t>, [C]</a:t>
          </a:r>
          <a:endParaRPr lang="ru-RU" sz="1800" b="1" i="1"/>
        </a:p>
      </xdr:txBody>
    </xdr:sp>
    <xdr:clientData/>
  </xdr:oneCellAnchor>
  <xdr:oneCellAnchor>
    <xdr:from>
      <xdr:col>22</xdr:col>
      <xdr:colOff>441960</xdr:colOff>
      <xdr:row>32</xdr:row>
      <xdr:rowOff>30480</xdr:rowOff>
    </xdr:from>
    <xdr:ext cx="868680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13853160" y="5882640"/>
              <a:ext cx="868680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 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𝑴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 b="1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13853160" y="5882640"/>
              <a:ext cx="868680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1" i="0">
                  <a:latin typeface="Cambria Math" panose="02040503050406030204" pitchFamily="18" charset="0"/>
                </a:rPr>
                <a:t>𝑳 [𝑴]</a:t>
              </a:r>
              <a:endParaRPr lang="ru-RU" sz="18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BM15"/>
  <sheetViews>
    <sheetView tabSelected="1" topLeftCell="M16" zoomScaleNormal="100" workbookViewId="0">
      <selection activeCell="G13" sqref="G13:AI13"/>
    </sheetView>
  </sheetViews>
  <sheetFormatPr defaultRowHeight="14.4" x14ac:dyDescent="0.3"/>
  <cols>
    <col min="10" max="10" width="8.88671875" customWidth="1"/>
    <col min="12" max="12" width="8.88671875" customWidth="1"/>
    <col min="15" max="15" width="8.88671875" customWidth="1"/>
    <col min="34" max="34" width="8.88671875" customWidth="1"/>
  </cols>
  <sheetData>
    <row r="3" spans="2:65" x14ac:dyDescent="0.3">
      <c r="B3" s="5" t="s">
        <v>0</v>
      </c>
      <c r="C3" s="6">
        <v>0.1</v>
      </c>
    </row>
    <row r="4" spans="2:65" x14ac:dyDescent="0.3">
      <c r="B4" s="5" t="s">
        <v>1</v>
      </c>
      <c r="C4" s="7">
        <f>C3/30</f>
        <v>3.3333333333333335E-3</v>
      </c>
    </row>
    <row r="5" spans="2:65" x14ac:dyDescent="0.3">
      <c r="B5" s="5" t="s">
        <v>2</v>
      </c>
      <c r="C5" s="8">
        <f>(C9*C8*C4^2)/(2*C10)</f>
        <v>0.4333333333333334</v>
      </c>
    </row>
    <row r="6" spans="2:65" x14ac:dyDescent="0.3">
      <c r="B6" s="5" t="s">
        <v>3</v>
      </c>
      <c r="C6" s="5">
        <v>500</v>
      </c>
      <c r="D6">
        <v>500.06666666666672</v>
      </c>
    </row>
    <row r="7" spans="2:65" x14ac:dyDescent="0.3">
      <c r="B7" s="5"/>
      <c r="C7" s="5"/>
    </row>
    <row r="8" spans="2:65" x14ac:dyDescent="0.3">
      <c r="B8" s="5" t="s">
        <v>4</v>
      </c>
      <c r="C8" s="5">
        <v>460</v>
      </c>
    </row>
    <row r="9" spans="2:65" x14ac:dyDescent="0.3">
      <c r="B9" s="5" t="s">
        <v>5</v>
      </c>
      <c r="C9" s="5">
        <v>7800</v>
      </c>
    </row>
    <row r="10" spans="2:65" x14ac:dyDescent="0.3">
      <c r="B10" s="5" t="s">
        <v>6</v>
      </c>
      <c r="C10" s="5">
        <v>46</v>
      </c>
    </row>
    <row r="11" spans="2:65" x14ac:dyDescent="0.3">
      <c r="B11" s="5"/>
      <c r="C11" s="5"/>
      <c r="F11" s="3">
        <v>1</v>
      </c>
      <c r="G11" s="3">
        <v>2</v>
      </c>
      <c r="H11" s="3">
        <v>3</v>
      </c>
      <c r="I11" s="3">
        <v>4</v>
      </c>
      <c r="J11" s="3">
        <v>5</v>
      </c>
      <c r="K11" s="3">
        <v>6</v>
      </c>
      <c r="L11" s="3">
        <v>7</v>
      </c>
      <c r="M11" s="3">
        <v>8</v>
      </c>
      <c r="N11" s="3">
        <v>9</v>
      </c>
      <c r="O11" s="3">
        <v>10</v>
      </c>
      <c r="P11" s="3">
        <v>11</v>
      </c>
      <c r="Q11" s="3">
        <v>12</v>
      </c>
      <c r="R11" s="3">
        <v>13</v>
      </c>
      <c r="S11" s="3">
        <v>14</v>
      </c>
      <c r="T11" s="3">
        <v>15</v>
      </c>
      <c r="U11" s="3">
        <v>16</v>
      </c>
      <c r="V11" s="3">
        <v>17</v>
      </c>
      <c r="W11" s="3">
        <v>18</v>
      </c>
      <c r="X11" s="3">
        <v>19</v>
      </c>
      <c r="Y11" s="3">
        <v>20</v>
      </c>
      <c r="Z11" s="3">
        <v>21</v>
      </c>
      <c r="AA11" s="3">
        <v>22</v>
      </c>
      <c r="AB11" s="3">
        <v>23</v>
      </c>
      <c r="AC11" s="3">
        <v>24</v>
      </c>
      <c r="AD11" s="3">
        <v>25</v>
      </c>
      <c r="AE11" s="3">
        <v>26</v>
      </c>
      <c r="AF11" s="3">
        <v>27</v>
      </c>
      <c r="AG11" s="3">
        <v>28</v>
      </c>
      <c r="AH11" s="3">
        <v>29</v>
      </c>
      <c r="AI11" s="3">
        <v>30</v>
      </c>
      <c r="AJ11" s="3">
        <v>31</v>
      </c>
    </row>
    <row r="12" spans="2:65" x14ac:dyDescent="0.3">
      <c r="B12" s="5" t="s">
        <v>8</v>
      </c>
      <c r="C12" s="5">
        <v>300</v>
      </c>
      <c r="E12" t="s">
        <v>0</v>
      </c>
      <c r="F12" s="4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</row>
    <row r="13" spans="2:65" x14ac:dyDescent="0.3">
      <c r="B13" s="5" t="s">
        <v>9</v>
      </c>
      <c r="C13" s="5">
        <v>100</v>
      </c>
      <c r="E13" t="s">
        <v>7</v>
      </c>
      <c r="F13" s="1">
        <f>C12</f>
        <v>300</v>
      </c>
      <c r="G13" s="1">
        <v>293.32310708172031</v>
      </c>
      <c r="H13" s="1">
        <v>286.64621416344067</v>
      </c>
      <c r="I13" s="1">
        <v>279.96976818142753</v>
      </c>
      <c r="J13" s="1">
        <v>273.29332219941438</v>
      </c>
      <c r="K13" s="1">
        <v>266.61775055667476</v>
      </c>
      <c r="L13" s="1">
        <v>259.94217891393515</v>
      </c>
      <c r="M13" s="1">
        <v>253.26787080065432</v>
      </c>
      <c r="N13" s="1">
        <v>246.59356268737349</v>
      </c>
      <c r="O13" s="1">
        <v>239.9208520714362</v>
      </c>
      <c r="P13" s="1">
        <v>233.24814145549891</v>
      </c>
      <c r="Q13" s="1">
        <v>226.57729248649036</v>
      </c>
      <c r="R13" s="1">
        <v>219.90644351748179</v>
      </c>
      <c r="S13" s="1">
        <v>213.23763898208321</v>
      </c>
      <c r="T13" s="1">
        <v>206.56883444668463</v>
      </c>
      <c r="U13" s="1">
        <v>199.9021677800182</v>
      </c>
      <c r="V13" s="1">
        <v>193.2355011133518</v>
      </c>
      <c r="W13" s="1">
        <v>186.57097231541749</v>
      </c>
      <c r="X13" s="1">
        <v>179.90644351748318</v>
      </c>
      <c r="Y13" s="1">
        <v>173.24395915315873</v>
      </c>
      <c r="Z13" s="1">
        <v>166.58147478883427</v>
      </c>
      <c r="AA13" s="1">
        <v>159.92085207143839</v>
      </c>
      <c r="AB13" s="1">
        <v>153.26022935404251</v>
      </c>
      <c r="AC13" s="1">
        <v>146.60120413398997</v>
      </c>
      <c r="AD13" s="1">
        <v>139.94217891393743</v>
      </c>
      <c r="AE13" s="1">
        <v>133.28441722334344</v>
      </c>
      <c r="AF13" s="1">
        <v>126.62665553274945</v>
      </c>
      <c r="AG13" s="1">
        <v>119.96976818142888</v>
      </c>
      <c r="AH13" s="1">
        <v>113.3128808301083</v>
      </c>
      <c r="AI13" s="1">
        <v>106.65644041505415</v>
      </c>
      <c r="AJ13" s="1">
        <v>100</v>
      </c>
    </row>
    <row r="14" spans="2:65" x14ac:dyDescent="0.3">
      <c r="G14" s="1"/>
    </row>
    <row r="15" spans="2:65" x14ac:dyDescent="0.3">
      <c r="E15" t="s">
        <v>10</v>
      </c>
      <c r="G15">
        <f>G13+(($C$10*$C$5)/($C$9*$C$8))*((H13-2*G13+F13)/($C$4^2))</f>
        <v>293.32310708172031</v>
      </c>
      <c r="H15">
        <f t="shared" ref="H15:AI15" si="1">H13+(($C$10*$C$5)/($C$9*$C$8))*((I13-2*H13+G13)/($C$4^2))</f>
        <v>286.64643763157392</v>
      </c>
      <c r="I15">
        <f t="shared" si="1"/>
        <v>279.96976818142753</v>
      </c>
      <c r="J15">
        <f t="shared" si="1"/>
        <v>273.29375936905114</v>
      </c>
      <c r="K15">
        <f t="shared" si="1"/>
        <v>266.61775055667476</v>
      </c>
      <c r="L15">
        <f t="shared" si="1"/>
        <v>259.94281067866456</v>
      </c>
      <c r="M15">
        <f t="shared" si="1"/>
        <v>253.26787080065432</v>
      </c>
      <c r="N15">
        <f t="shared" si="1"/>
        <v>246.59436143604526</v>
      </c>
      <c r="O15">
        <f t="shared" si="1"/>
        <v>239.9208520714362</v>
      </c>
      <c r="P15">
        <f t="shared" si="1"/>
        <v>233.2490722789633</v>
      </c>
      <c r="Q15">
        <f t="shared" si="1"/>
        <v>226.57729248649036</v>
      </c>
      <c r="R15">
        <f t="shared" si="1"/>
        <v>219.9074657342868</v>
      </c>
      <c r="S15">
        <f t="shared" si="1"/>
        <v>213.23763898208321</v>
      </c>
      <c r="T15">
        <f t="shared" si="1"/>
        <v>206.56990338105072</v>
      </c>
      <c r="U15">
        <f t="shared" si="1"/>
        <v>199.9021677800182</v>
      </c>
      <c r="V15">
        <f t="shared" si="1"/>
        <v>193.23657004771786</v>
      </c>
      <c r="W15">
        <f t="shared" si="1"/>
        <v>186.57097231541749</v>
      </c>
      <c r="X15">
        <f t="shared" si="1"/>
        <v>179.90746573428811</v>
      </c>
      <c r="Y15">
        <f t="shared" si="1"/>
        <v>173.24395915315873</v>
      </c>
      <c r="Z15">
        <f t="shared" si="1"/>
        <v>166.58240561229854</v>
      </c>
      <c r="AA15">
        <f t="shared" si="1"/>
        <v>159.92085207143839</v>
      </c>
      <c r="AB15">
        <f t="shared" si="1"/>
        <v>153.26102810271419</v>
      </c>
      <c r="AC15">
        <f t="shared" si="1"/>
        <v>146.60120413398997</v>
      </c>
      <c r="AD15">
        <f t="shared" si="1"/>
        <v>139.94281067866672</v>
      </c>
      <c r="AE15">
        <f t="shared" si="1"/>
        <v>133.28441722334344</v>
      </c>
      <c r="AF15">
        <f t="shared" si="1"/>
        <v>126.62709270238616</v>
      </c>
      <c r="AG15">
        <f t="shared" si="1"/>
        <v>119.96976818142888</v>
      </c>
      <c r="AH15">
        <f t="shared" si="1"/>
        <v>113.31310429824151</v>
      </c>
      <c r="AI15">
        <f t="shared" si="1"/>
        <v>106.65644041505415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2021-09-22T21:42:14Z</dcterms:created>
  <dcterms:modified xsi:type="dcterms:W3CDTF">2021-10-24T16:15:55Z</dcterms:modified>
</cp:coreProperties>
</file>