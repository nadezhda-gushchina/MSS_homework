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НАДЯ\Desktop\"/>
    </mc:Choice>
  </mc:AlternateContent>
  <bookViews>
    <workbookView xWindow="0" yWindow="0" windowWidth="23040" windowHeight="8244"/>
  </bookViews>
  <sheets>
    <sheet name="Лист1" sheetId="1" r:id="rId1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5" i="1" l="1"/>
  <c r="AF15" i="1"/>
  <c r="AD15" i="1"/>
  <c r="AB15" i="1"/>
  <c r="Z15" i="1"/>
  <c r="X15" i="1"/>
  <c r="V15" i="1"/>
  <c r="T15" i="1"/>
  <c r="R15" i="1"/>
  <c r="P15" i="1"/>
  <c r="N15" i="1"/>
  <c r="L15" i="1"/>
  <c r="J15" i="1"/>
  <c r="H15" i="1"/>
  <c r="K15" i="1"/>
  <c r="O15" i="1"/>
  <c r="S15" i="1"/>
  <c r="W15" i="1"/>
  <c r="AA15" i="1"/>
  <c r="AE15" i="1"/>
  <c r="F13" i="1"/>
  <c r="C4" i="1"/>
  <c r="C5" i="1" s="1"/>
  <c r="AI15" i="1" l="1"/>
  <c r="AG15" i="1"/>
  <c r="AC15" i="1"/>
  <c r="Y15" i="1"/>
  <c r="U15" i="1"/>
  <c r="Q15" i="1"/>
  <c r="M15" i="1"/>
  <c r="I15" i="1"/>
  <c r="G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<sst xmlns="http://schemas.openxmlformats.org/spreadsheetml/2006/main" count="12" uniqueCount="11">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</sst>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70" formatCode="0.000"/>
    <numFmt numFmtId="171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170" fontId="0" fillId="0" borderId="1" xfId="1" applyNumberFormat="1" applyFont="1" applyBorder="1"/>
    <xf numFmtId="170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7.6423519976669588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293.33333322655648</c:v>
                </c:pt>
                <c:pt idx="2">
                  <c:v>286.66666645311295</c:v>
                </c:pt>
                <c:pt idx="3">
                  <c:v>279.9999996843361</c:v>
                </c:pt>
                <c:pt idx="4">
                  <c:v>273.3333329155592</c:v>
                </c:pt>
                <c:pt idx="5">
                  <c:v>266.66666615591168</c:v>
                </c:pt>
                <c:pt idx="6">
                  <c:v>259.99999939626417</c:v>
                </c:pt>
                <c:pt idx="7">
                  <c:v>253.33333264980976</c:v>
                </c:pt>
                <c:pt idx="8">
                  <c:v>246.66666590335532</c:v>
                </c:pt>
                <c:pt idx="9">
                  <c:v>239.99999917358107</c:v>
                </c:pt>
                <c:pt idx="10">
                  <c:v>233.33333244380682</c:v>
                </c:pt>
                <c:pt idx="11">
                  <c:v>226.66666573347086</c:v>
                </c:pt>
                <c:pt idx="12">
                  <c:v>219.9999990231349</c:v>
                </c:pt>
                <c:pt idx="13">
                  <c:v>213.33333233414578</c:v>
                </c:pt>
                <c:pt idx="14">
                  <c:v>206.66666564515668</c:v>
                </c:pt>
                <c:pt idx="15">
                  <c:v>199.99999897849003</c:v>
                </c:pt>
                <c:pt idx="16">
                  <c:v>193.33333231182337</c:v>
                </c:pt>
                <c:pt idx="17">
                  <c:v>186.66666566747915</c:v>
                </c:pt>
                <c:pt idx="18">
                  <c:v>179.99999902313493</c:v>
                </c:pt>
                <c:pt idx="19">
                  <c:v>173.33333240013755</c:v>
                </c:pt>
                <c:pt idx="20">
                  <c:v>166.66666577714017</c:v>
                </c:pt>
                <c:pt idx="21">
                  <c:v>159.99999917358107</c:v>
                </c:pt>
                <c:pt idx="22">
                  <c:v>153.33333257002198</c:v>
                </c:pt>
                <c:pt idx="23">
                  <c:v>146.66666598314308</c:v>
                </c:pt>
                <c:pt idx="24">
                  <c:v>139.99999939626417</c:v>
                </c:pt>
                <c:pt idx="25">
                  <c:v>133.33333282257834</c:v>
                </c:pt>
                <c:pt idx="26">
                  <c:v>126.66666624889253</c:v>
                </c:pt>
                <c:pt idx="27">
                  <c:v>119.99999968433607</c:v>
                </c:pt>
                <c:pt idx="28">
                  <c:v>113.33333311977961</c:v>
                </c:pt>
                <c:pt idx="29">
                  <c:v>106.6666665598898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4-466E-99E4-72D4C1228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99224"/>
        <c:axId val="539982472"/>
      </c:scatterChart>
      <c:valAx>
        <c:axId val="352099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982472"/>
        <c:crosses val="autoZero"/>
        <c:crossBetween val="midCat"/>
      </c:valAx>
      <c:valAx>
        <c:axId val="539982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09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99060</xdr:colOff>
      <xdr:row>18</xdr:row>
      <xdr:rowOff>121920</xdr:rowOff>
    </xdr:from>
    <xdr:to>
      <xdr:col>23</xdr:col>
      <xdr:colOff>403860</xdr:colOff>
      <xdr:row>33</xdr:row>
      <xdr:rowOff>121920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83820</xdr:colOff>
      <xdr:row>18</xdr:row>
      <xdr:rowOff>68580</xdr:rowOff>
    </xdr:from>
    <xdr:ext cx="510540" cy="281808"/>
    <xdr:sp macro="" textlink="">
      <xdr:nvSpPr>
        <xdr:cNvPr id="8" name="TextBox 7"/>
        <xdr:cNvSpPr txBox="1"/>
      </xdr:nvSpPr>
      <xdr:spPr>
        <a:xfrm>
          <a:off x="9837420" y="3360420"/>
          <a:ext cx="51054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T</a:t>
          </a:r>
          <a:r>
            <a:rPr lang="en-US" sz="1800" b="1" i="1" baseline="0"/>
            <a:t>, [C]</a:t>
          </a:r>
          <a:endParaRPr lang="ru-RU" sz="1800" b="1" i="1"/>
        </a:p>
      </xdr:txBody>
    </xdr:sp>
    <xdr:clientData/>
  </xdr:oneCellAnchor>
  <xdr:oneCellAnchor>
    <xdr:from>
      <xdr:col>22</xdr:col>
      <xdr:colOff>441960</xdr:colOff>
      <xdr:row>32</xdr:row>
      <xdr:rowOff>30480</xdr:rowOff>
    </xdr:from>
    <xdr:ext cx="868680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𝑴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 [𝑴]</a:t>
              </a:r>
              <a:endParaRPr lang="ru-RU" sz="18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BM15"/>
  <sheetViews>
    <sheetView tabSelected="1" zoomScale="40" zoomScaleNormal="40" workbookViewId="0">
      <selection activeCell="F8" sqref="F8"/>
    </sheetView>
  </sheetViews>
  <sheetFormatPr defaultRowHeight="14.4" x14ac:dyDescent="0.3"/>
  <cols>
    <col min="10" max="10" width="8.88671875" customWidth="1"/>
    <col min="12" max="12" width="8.88671875" customWidth="1"/>
    <col min="15" max="15" width="8.88671875" customWidth="1"/>
    <col min="34" max="34" width="8.88671875" customWidth="1"/>
  </cols>
  <sheetData>
    <row r="3" spans="2:65" x14ac:dyDescent="0.3">
      <c r="B3" s="5" t="s">
        <v>0</v>
      </c>
      <c r="C3" s="6">
        <v>0.1</v>
      </c>
    </row>
    <row r="4" spans="2:65" x14ac:dyDescent="0.3">
      <c r="B4" s="5" t="s">
        <v>1</v>
      </c>
      <c r="C4" s="7">
        <f>C3/30</f>
        <v>3.3333333333333335E-3</v>
      </c>
    </row>
    <row r="5" spans="2:65" x14ac:dyDescent="0.3">
      <c r="B5" s="5" t="s">
        <v>2</v>
      </c>
      <c r="C5" s="8">
        <f>(C9*C8*C4^2)/(2*C10)</f>
        <v>0.4333333333333334</v>
      </c>
    </row>
    <row r="6" spans="2:65" x14ac:dyDescent="0.3">
      <c r="B6" s="5" t="s">
        <v>3</v>
      </c>
      <c r="C6" s="5">
        <v>60</v>
      </c>
      <c r="D6">
        <v>0.86666666666666681</v>
      </c>
    </row>
    <row r="7" spans="2:65" x14ac:dyDescent="0.3">
      <c r="B7" s="5"/>
      <c r="C7" s="5"/>
    </row>
    <row r="8" spans="2:65" x14ac:dyDescent="0.3">
      <c r="B8" s="5" t="s">
        <v>4</v>
      </c>
      <c r="C8" s="5">
        <v>460</v>
      </c>
    </row>
    <row r="9" spans="2:65" x14ac:dyDescent="0.3">
      <c r="B9" s="5" t="s">
        <v>5</v>
      </c>
      <c r="C9" s="5">
        <v>7800</v>
      </c>
    </row>
    <row r="10" spans="2:65" x14ac:dyDescent="0.3">
      <c r="B10" s="5" t="s">
        <v>6</v>
      </c>
      <c r="C10" s="5">
        <v>46</v>
      </c>
    </row>
    <row r="11" spans="2:65" x14ac:dyDescent="0.3">
      <c r="B11" s="5"/>
      <c r="C11" s="5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65" x14ac:dyDescent="0.3">
      <c r="B12" s="5" t="s">
        <v>8</v>
      </c>
      <c r="C12" s="5">
        <v>300</v>
      </c>
      <c r="E12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</row>
    <row r="13" spans="2:65" x14ac:dyDescent="0.3">
      <c r="B13" s="5" t="s">
        <v>9</v>
      </c>
      <c r="C13" s="5">
        <v>100</v>
      </c>
      <c r="E13" t="s">
        <v>7</v>
      </c>
      <c r="F13" s="1">
        <f>C12</f>
        <v>300</v>
      </c>
      <c r="G13" s="1">
        <v>293.33333322655648</v>
      </c>
      <c r="H13" s="1">
        <v>286.66666645311295</v>
      </c>
      <c r="I13" s="1">
        <v>279.9999996843361</v>
      </c>
      <c r="J13" s="1">
        <v>273.3333329155592</v>
      </c>
      <c r="K13" s="1">
        <v>266.66666615591168</v>
      </c>
      <c r="L13" s="1">
        <v>259.99999939626417</v>
      </c>
      <c r="M13" s="1">
        <v>253.33333264980976</v>
      </c>
      <c r="N13" s="1">
        <v>246.66666590335532</v>
      </c>
      <c r="O13" s="1">
        <v>239.99999917358107</v>
      </c>
      <c r="P13" s="1">
        <v>233.33333244380682</v>
      </c>
      <c r="Q13" s="1">
        <v>226.66666573347086</v>
      </c>
      <c r="R13" s="1">
        <v>219.9999990231349</v>
      </c>
      <c r="S13" s="1">
        <v>213.33333233414578</v>
      </c>
      <c r="T13" s="1">
        <v>206.66666564515668</v>
      </c>
      <c r="U13" s="1">
        <v>199.99999897849003</v>
      </c>
      <c r="V13" s="1">
        <v>193.33333231182337</v>
      </c>
      <c r="W13" s="1">
        <v>186.66666566747915</v>
      </c>
      <c r="X13" s="1">
        <v>179.99999902313493</v>
      </c>
      <c r="Y13" s="1">
        <v>173.33333240013755</v>
      </c>
      <c r="Z13" s="1">
        <v>166.66666577714017</v>
      </c>
      <c r="AA13" s="1">
        <v>159.99999917358107</v>
      </c>
      <c r="AB13" s="1">
        <v>153.33333257002198</v>
      </c>
      <c r="AC13" s="1">
        <v>146.66666598314308</v>
      </c>
      <c r="AD13" s="1">
        <v>139.99999939626417</v>
      </c>
      <c r="AE13" s="1">
        <v>133.33333282257834</v>
      </c>
      <c r="AF13" s="1">
        <v>126.66666624889253</v>
      </c>
      <c r="AG13" s="1">
        <v>119.99999968433607</v>
      </c>
      <c r="AH13" s="1">
        <v>113.33333311977961</v>
      </c>
      <c r="AI13" s="1">
        <v>106.6666665598898</v>
      </c>
      <c r="AJ13" s="1">
        <v>100</v>
      </c>
    </row>
    <row r="14" spans="2:65" x14ac:dyDescent="0.3">
      <c r="G14" s="1"/>
    </row>
    <row r="15" spans="2:65" x14ac:dyDescent="0.3">
      <c r="E15" t="s">
        <v>10</v>
      </c>
      <c r="G15">
        <f>G13+(($C$10*$C$5)/($C$9*$C$8))*((H13-2*G13+F13)/($C$4^2))</f>
        <v>293.33333322655648</v>
      </c>
      <c r="H15">
        <f t="shared" ref="H13:AI15" si="1">H13+(($C$10*$C$5)/($C$9*$C$8))*((I13-2*H13+G13)/($C$4^2))</f>
        <v>286.66666645544626</v>
      </c>
      <c r="I15">
        <f t="shared" si="1"/>
        <v>279.9999996843361</v>
      </c>
      <c r="J15">
        <f t="shared" si="1"/>
        <v>273.33333292012389</v>
      </c>
      <c r="K15">
        <f t="shared" si="1"/>
        <v>266.66666615591168</v>
      </c>
      <c r="L15">
        <f t="shared" si="1"/>
        <v>259.99999940286074</v>
      </c>
      <c r="M15">
        <f t="shared" si="1"/>
        <v>253.33333264980973</v>
      </c>
      <c r="N15">
        <f t="shared" si="1"/>
        <v>246.66666591169542</v>
      </c>
      <c r="O15">
        <f t="shared" si="1"/>
        <v>239.99999917358107</v>
      </c>
      <c r="P15">
        <f t="shared" si="1"/>
        <v>233.33333245352597</v>
      </c>
      <c r="Q15">
        <f t="shared" si="1"/>
        <v>226.66666573347086</v>
      </c>
      <c r="R15">
        <f t="shared" si="1"/>
        <v>219.99999903380831</v>
      </c>
      <c r="S15">
        <f t="shared" si="1"/>
        <v>213.33333233414578</v>
      </c>
      <c r="T15">
        <f t="shared" si="1"/>
        <v>206.66666565631789</v>
      </c>
      <c r="U15">
        <f t="shared" si="1"/>
        <v>199.99999897849003</v>
      </c>
      <c r="V15">
        <f t="shared" si="1"/>
        <v>193.33333232298457</v>
      </c>
      <c r="W15">
        <f t="shared" si="1"/>
        <v>186.66666566747915</v>
      </c>
      <c r="X15">
        <f t="shared" si="1"/>
        <v>179.99999903380836</v>
      </c>
      <c r="Y15">
        <f t="shared" si="1"/>
        <v>173.33333240013755</v>
      </c>
      <c r="Z15">
        <f t="shared" si="1"/>
        <v>166.66666578685931</v>
      </c>
      <c r="AA15">
        <f t="shared" si="1"/>
        <v>159.99999917358107</v>
      </c>
      <c r="AB15">
        <f t="shared" si="1"/>
        <v>153.33333257836208</v>
      </c>
      <c r="AC15">
        <f t="shared" si="1"/>
        <v>146.66666598314308</v>
      </c>
      <c r="AD15">
        <f t="shared" si="1"/>
        <v>139.99999940286071</v>
      </c>
      <c r="AE15">
        <f t="shared" si="1"/>
        <v>133.33333282257834</v>
      </c>
      <c r="AF15">
        <f t="shared" si="1"/>
        <v>126.66666625345721</v>
      </c>
      <c r="AG15">
        <f t="shared" si="1"/>
        <v>119.99999968433607</v>
      </c>
      <c r="AH15">
        <f t="shared" si="1"/>
        <v>113.33333312211295</v>
      </c>
      <c r="AI15">
        <f t="shared" si="1"/>
        <v>106.6666665598898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2021-09-22T21:42:14Z</dcterms:created>
  <dcterms:modified xsi:type="dcterms:W3CDTF">2021-09-23T00:29:03Z</dcterms:modified>
</cp:coreProperties>
</file>