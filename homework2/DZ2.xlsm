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НАДЯ\Documents\GitHub\MSS_homework\homework2\"/>
    </mc:Choice>
  </mc:AlternateContent>
  <bookViews>
    <workbookView xWindow="0" yWindow="0" windowWidth="23040" windowHeight="8244"/>
  </bookViews>
  <sheets>
    <sheet name="Лист1" sheetId="1" r:id="rId1"/>
  </sheet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0" i="1" l="1"/>
  <c r="G19" i="1" s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H18" i="1"/>
  <c r="I18" i="1"/>
  <c r="J18" i="1" s="1"/>
  <c r="H19" i="1" l="1"/>
  <c r="K18" i="1"/>
  <c r="U16" i="1"/>
  <c r="I19" i="1" l="1"/>
  <c r="J19" i="1" s="1"/>
  <c r="K19" i="1" s="1"/>
  <c r="L19" i="1" s="1"/>
  <c r="M19" i="1" s="1"/>
  <c r="N19" i="1" s="1"/>
  <c r="O19" i="1" s="1"/>
  <c r="P19" i="1" s="1"/>
  <c r="Q19" i="1" s="1"/>
  <c r="R19" i="1" s="1"/>
  <c r="S19" i="1" s="1"/>
  <c r="T19" i="1" s="1"/>
  <c r="U19" i="1" s="1"/>
  <c r="V19" i="1" s="1"/>
  <c r="W19" i="1" s="1"/>
  <c r="X19" i="1" s="1"/>
  <c r="Y19" i="1" s="1"/>
  <c r="Z19" i="1" s="1"/>
  <c r="AA19" i="1" s="1"/>
  <c r="AB19" i="1" s="1"/>
  <c r="AC19" i="1" s="1"/>
  <c r="AD19" i="1" s="1"/>
  <c r="AE19" i="1" s="1"/>
  <c r="AF19" i="1" s="1"/>
  <c r="AG19" i="1" s="1"/>
  <c r="AH19" i="1" s="1"/>
  <c r="AI19" i="1" s="1"/>
  <c r="AI15" i="1" s="1"/>
  <c r="AH15" i="1" s="1"/>
  <c r="AG15" i="1" s="1"/>
  <c r="AF15" i="1" s="1"/>
  <c r="AE15" i="1" s="1"/>
  <c r="AD15" i="1" s="1"/>
  <c r="AC15" i="1" s="1"/>
  <c r="AB15" i="1" s="1"/>
  <c r="AA15" i="1" s="1"/>
  <c r="Z15" i="1" s="1"/>
  <c r="Y15" i="1" s="1"/>
  <c r="X15" i="1" s="1"/>
  <c r="W15" i="1" s="1"/>
  <c r="V15" i="1" s="1"/>
  <c r="U15" i="1" s="1"/>
  <c r="T15" i="1" s="1"/>
  <c r="S15" i="1" s="1"/>
  <c r="R15" i="1" s="1"/>
  <c r="Q15" i="1" s="1"/>
  <c r="P15" i="1" s="1"/>
  <c r="O15" i="1" s="1"/>
  <c r="N15" i="1" s="1"/>
  <c r="M15" i="1" s="1"/>
  <c r="L15" i="1" s="1"/>
  <c r="K15" i="1" s="1"/>
  <c r="J15" i="1" s="1"/>
  <c r="I15" i="1" s="1"/>
  <c r="H15" i="1" s="1"/>
  <c r="G15" i="1" s="1"/>
  <c r="L18" i="1"/>
  <c r="G18" i="1"/>
  <c r="F19" i="1"/>
  <c r="F20" i="1"/>
  <c r="M18" i="1" l="1"/>
  <c r="C4" i="1"/>
  <c r="N18" i="1" l="1"/>
  <c r="C5" i="1"/>
  <c r="C15" i="1"/>
  <c r="C17" i="1" s="1"/>
  <c r="G16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O18" i="1" l="1"/>
  <c r="C16" i="1"/>
  <c r="P18" i="1" l="1"/>
  <c r="Q18" i="1" l="1"/>
  <c r="R18" i="1" l="1"/>
  <c r="S18" i="1" l="1"/>
  <c r="T18" i="1" l="1"/>
  <c r="U18" i="1" l="1"/>
  <c r="V18" i="1" l="1"/>
  <c r="W18" i="1" l="1"/>
  <c r="X18" i="1" l="1"/>
  <c r="Y18" i="1" l="1"/>
  <c r="Z18" i="1" l="1"/>
  <c r="AA18" i="1" l="1"/>
  <c r="AB18" i="1" l="1"/>
  <c r="AC18" i="1" l="1"/>
  <c r="AD18" i="1" l="1"/>
  <c r="AE18" i="1" l="1"/>
  <c r="AF18" i="1" l="1"/>
  <c r="AG18" i="1" l="1"/>
  <c r="AH18" i="1" l="1"/>
  <c r="AI18" i="1" l="1"/>
</calcChain>
</file>

<file path=xl/sharedStrings.xml><?xml version="1.0" encoding="utf-8"?>
<sst xmlns="http://schemas.openxmlformats.org/spreadsheetml/2006/main" count="19" uniqueCount="18">
  <si>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</si>
  <si>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</si>
  <si>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</si>
  <si>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</si>
  <si>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</si>
  <si>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</si>
  <si>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</si>
  <si>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</si>
  <si>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</si>
  <si>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</si>
  <si>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</si>
  <si>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A</t>
  </si>
  <si>
    <t>B</t>
  </si>
  <si>
    <t>C</t>
  </si>
  <si>
    <t>q</t>
  </si>
  <si>
    <t>F</t>
  </si>
  <si>
    <t>alfa</t>
  </si>
  <si>
    <t>betta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</si>
</sst>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-* #,##0.00\ _₽_-;\-* #,##0.00\ _₽_-;_-* &quot;-&quot;??\ _₽_-;_-@_-"/>
    <numFmt numFmtId="164" formatCode="0.000"/>
    <numFmt numFmtId="165" formatCode="0.00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9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right"/>
    </xf>
    <xf numFmtId="164" fontId="0" fillId="0" borderId="1" xfId="1" applyNumberFormat="1" applyFont="1" applyBorder="1"/>
    <xf numFmtId="164" fontId="0" fillId="0" borderId="1" xfId="0" applyNumberFormat="1" applyBorder="1"/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358705161854769E-2"/>
          <c:y val="7.6423519976669588E-2"/>
          <c:w val="0.85541207349081361"/>
          <c:h val="0.89814814814814814"/>
        </c:manualLayout>
      </c:layout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280.20114262798575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34-466E-99E4-72D4C1228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099224"/>
        <c:axId val="539982472"/>
      </c:scatterChart>
      <c:valAx>
        <c:axId val="35209922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9982472"/>
        <c:crosses val="autoZero"/>
        <c:crossBetween val="midCat"/>
      </c:valAx>
      <c:valAx>
        <c:axId val="5399824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52099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99060</xdr:colOff>
      <xdr:row>30</xdr:row>
      <xdr:rowOff>121920</xdr:rowOff>
    </xdr:from>
    <xdr:to>
      <xdr:col>23</xdr:col>
      <xdr:colOff>403860</xdr:colOff>
      <xdr:row>45</xdr:row>
      <xdr:rowOff>121920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16</xdr:col>
      <xdr:colOff>83820</xdr:colOff>
      <xdr:row>30</xdr:row>
      <xdr:rowOff>68580</xdr:rowOff>
    </xdr:from>
    <xdr:ext cx="510540" cy="281808"/>
    <xdr:sp macro="" textlink="">
      <xdr:nvSpPr>
        <xdr:cNvPr id="8" name="TextBox 7"/>
        <xdr:cNvSpPr txBox="1"/>
      </xdr:nvSpPr>
      <xdr:spPr>
        <a:xfrm>
          <a:off x="9837420" y="3360420"/>
          <a:ext cx="510540" cy="28180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r>
            <a:rPr lang="en-US" sz="1800" b="1" i="1"/>
            <a:t>T</a:t>
          </a:r>
          <a:r>
            <a:rPr lang="en-US" sz="1800" b="1" i="1" baseline="0"/>
            <a:t>, [C]</a:t>
          </a:r>
          <a:endParaRPr lang="ru-RU" sz="1800" b="1" i="1"/>
        </a:p>
      </xdr:txBody>
    </xdr:sp>
    <xdr:clientData/>
  </xdr:oneCellAnchor>
  <xdr:oneCellAnchor>
    <xdr:from>
      <xdr:col>22</xdr:col>
      <xdr:colOff>441960</xdr:colOff>
      <xdr:row>44</xdr:row>
      <xdr:rowOff>30480</xdr:rowOff>
    </xdr:from>
    <xdr:ext cx="868680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/>
            <xdr:cNvSpPr txBox="1"/>
          </xdr:nvSpPr>
          <xdr:spPr>
            <a:xfrm>
              <a:off x="13853160" y="5882640"/>
              <a:ext cx="868680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 [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𝑴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800" b="1"/>
            </a:p>
          </xdr:txBody>
        </xdr:sp>
      </mc:Choice>
      <mc:Fallback xmlns="">
        <xdr:sp macro="" textlink="">
          <xdr:nvSpPr>
            <xdr:cNvPr id="9" name="TextBox 8"/>
            <xdr:cNvSpPr txBox="1"/>
          </xdr:nvSpPr>
          <xdr:spPr>
            <a:xfrm>
              <a:off x="13853160" y="5882640"/>
              <a:ext cx="868680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800" b="1" i="0">
                  <a:latin typeface="Cambria Math" panose="02040503050406030204" pitchFamily="18" charset="0"/>
                </a:rPr>
                <a:t>𝑳 [𝑴]</a:t>
              </a:r>
              <a:endParaRPr lang="ru-RU" sz="1800" b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BM20"/>
  <sheetViews>
    <sheetView tabSelected="1" topLeftCell="A7" zoomScale="70" zoomScaleNormal="70" workbookViewId="0">
      <selection activeCell="G13" sqref="G13"/>
    </sheetView>
  </sheetViews>
  <sheetFormatPr defaultRowHeight="14.4" x14ac:dyDescent="0.3"/>
  <cols>
    <col min="3" max="3" width="10.6640625" bestFit="1" customWidth="1"/>
    <col min="4" max="4" width="9.5546875" bestFit="1" customWidth="1"/>
    <col min="6" max="7" width="13.6640625" bestFit="1" customWidth="1"/>
    <col min="8" max="9" width="14.88671875" bestFit="1" customWidth="1"/>
    <col min="10" max="10" width="8.88671875" customWidth="1"/>
    <col min="11" max="11" width="13.109375" bestFit="1" customWidth="1"/>
    <col min="12" max="12" width="8.88671875" customWidth="1"/>
    <col min="13" max="13" width="12.109375" bestFit="1" customWidth="1"/>
    <col min="14" max="14" width="13.6640625" bestFit="1" customWidth="1"/>
    <col min="15" max="15" width="8.88671875" customWidth="1"/>
    <col min="16" max="17" width="12.5546875" bestFit="1" customWidth="1"/>
    <col min="18" max="18" width="12.33203125" bestFit="1" customWidth="1"/>
    <col min="19" max="20" width="12.109375" bestFit="1" customWidth="1"/>
    <col min="21" max="26" width="12" bestFit="1" customWidth="1"/>
    <col min="27" max="27" width="11" bestFit="1" customWidth="1"/>
    <col min="28" max="33" width="12" bestFit="1" customWidth="1"/>
    <col min="34" max="34" width="8.88671875" customWidth="1"/>
    <col min="35" max="35" width="12" bestFit="1" customWidth="1"/>
  </cols>
  <sheetData>
    <row r="3" spans="2:65" x14ac:dyDescent="0.3">
      <c r="B3" s="5" t="s">
        <v>0</v>
      </c>
      <c r="C3" s="6">
        <v>0.1</v>
      </c>
    </row>
    <row r="4" spans="2:65" x14ac:dyDescent="0.3">
      <c r="B4" s="5" t="s">
        <v>1</v>
      </c>
      <c r="C4" s="7">
        <f>C3/30</f>
        <v>3.3333333333333335E-3</v>
      </c>
    </row>
    <row r="5" spans="2:65" x14ac:dyDescent="0.3">
      <c r="B5" s="5" t="s">
        <v>2</v>
      </c>
      <c r="C5" s="8">
        <f>(C9*C8*C4^2)/(2*C10)</f>
        <v>0.4333333333333334</v>
      </c>
    </row>
    <row r="6" spans="2:65" x14ac:dyDescent="0.3">
      <c r="B6" s="5" t="s">
        <v>3</v>
      </c>
      <c r="C6" s="5">
        <v>60</v>
      </c>
      <c r="D6">
        <v>60.233333333333341</v>
      </c>
    </row>
    <row r="7" spans="2:65" x14ac:dyDescent="0.3">
      <c r="B7" s="5"/>
      <c r="C7" s="5"/>
    </row>
    <row r="8" spans="2:65" x14ac:dyDescent="0.3">
      <c r="B8" s="5" t="s">
        <v>4</v>
      </c>
      <c r="C8" s="5">
        <v>460</v>
      </c>
    </row>
    <row r="9" spans="2:65" x14ac:dyDescent="0.3">
      <c r="B9" s="5" t="s">
        <v>5</v>
      </c>
      <c r="C9" s="5">
        <v>7800</v>
      </c>
    </row>
    <row r="10" spans="2:65" x14ac:dyDescent="0.3">
      <c r="B10" s="5" t="s">
        <v>6</v>
      </c>
      <c r="C10" s="5">
        <v>46</v>
      </c>
    </row>
    <row r="11" spans="2:65" x14ac:dyDescent="0.3">
      <c r="B11" s="5"/>
      <c r="C11" s="5"/>
      <c r="F11" s="3">
        <v>1</v>
      </c>
      <c r="G11" s="3">
        <v>2</v>
      </c>
      <c r="H11" s="3">
        <v>3</v>
      </c>
      <c r="I11" s="3">
        <v>4</v>
      </c>
      <c r="J11" s="3">
        <v>5</v>
      </c>
      <c r="K11" s="3">
        <v>6</v>
      </c>
      <c r="L11" s="3">
        <v>7</v>
      </c>
      <c r="M11" s="3">
        <v>8</v>
      </c>
      <c r="N11" s="3">
        <v>9</v>
      </c>
      <c r="O11" s="3">
        <v>10</v>
      </c>
      <c r="P11" s="3">
        <v>11</v>
      </c>
      <c r="Q11" s="3">
        <v>12</v>
      </c>
      <c r="R11" s="3">
        <v>13</v>
      </c>
      <c r="S11" s="3">
        <v>14</v>
      </c>
      <c r="T11" s="3">
        <v>15</v>
      </c>
      <c r="U11" s="3">
        <v>16</v>
      </c>
      <c r="V11" s="3">
        <v>17</v>
      </c>
      <c r="W11" s="3">
        <v>18</v>
      </c>
      <c r="X11" s="3">
        <v>19</v>
      </c>
      <c r="Y11" s="3">
        <v>20</v>
      </c>
      <c r="Z11" s="3">
        <v>21</v>
      </c>
      <c r="AA11" s="3">
        <v>22</v>
      </c>
      <c r="AB11" s="3">
        <v>23</v>
      </c>
      <c r="AC11" s="3">
        <v>24</v>
      </c>
      <c r="AD11" s="3">
        <v>25</v>
      </c>
      <c r="AE11" s="3">
        <v>26</v>
      </c>
      <c r="AF11" s="3">
        <v>27</v>
      </c>
      <c r="AG11" s="3">
        <v>28</v>
      </c>
      <c r="AH11" s="3">
        <v>29</v>
      </c>
      <c r="AI11" s="3">
        <v>30</v>
      </c>
      <c r="AJ11" s="3">
        <v>31</v>
      </c>
    </row>
    <row r="12" spans="2:65" x14ac:dyDescent="0.3">
      <c r="B12" s="5" t="s">
        <v>8</v>
      </c>
      <c r="C12" s="5">
        <v>300</v>
      </c>
      <c r="E12" t="s">
        <v>0</v>
      </c>
      <c r="F12" s="4">
        <v>0</v>
      </c>
      <c r="G12" s="4">
        <f t="shared" ref="G12:AJ12" si="0">F12+$C$4</f>
        <v>3.3333333333333335E-3</v>
      </c>
      <c r="H12" s="4">
        <f t="shared" si="0"/>
        <v>6.6666666666666671E-3</v>
      </c>
      <c r="I12" s="4">
        <f t="shared" si="0"/>
        <v>0.01</v>
      </c>
      <c r="J12" s="4">
        <f t="shared" si="0"/>
        <v>1.3333333333333334E-2</v>
      </c>
      <c r="K12" s="4">
        <f t="shared" si="0"/>
        <v>1.6666666666666666E-2</v>
      </c>
      <c r="L12" s="4">
        <f t="shared" si="0"/>
        <v>0.02</v>
      </c>
      <c r="M12" s="4">
        <f t="shared" si="0"/>
        <v>2.3333333333333334E-2</v>
      </c>
      <c r="N12" s="4">
        <f t="shared" si="0"/>
        <v>2.6666666666666668E-2</v>
      </c>
      <c r="O12" s="4">
        <f t="shared" si="0"/>
        <v>3.0000000000000002E-2</v>
      </c>
      <c r="P12" s="4">
        <f t="shared" si="0"/>
        <v>3.3333333333333333E-2</v>
      </c>
      <c r="Q12" s="4">
        <f t="shared" si="0"/>
        <v>3.6666666666666667E-2</v>
      </c>
      <c r="R12" s="4">
        <f t="shared" si="0"/>
        <v>0.04</v>
      </c>
      <c r="S12" s="4">
        <f t="shared" si="0"/>
        <v>4.3333333333333335E-2</v>
      </c>
      <c r="T12" s="4">
        <f t="shared" si="0"/>
        <v>4.6666666666666669E-2</v>
      </c>
      <c r="U12" s="4">
        <f t="shared" si="0"/>
        <v>0.05</v>
      </c>
      <c r="V12" s="4">
        <f t="shared" si="0"/>
        <v>5.3333333333333337E-2</v>
      </c>
      <c r="W12" s="4">
        <f t="shared" si="0"/>
        <v>5.6666666666666671E-2</v>
      </c>
      <c r="X12" s="4">
        <f t="shared" si="0"/>
        <v>6.0000000000000005E-2</v>
      </c>
      <c r="Y12" s="4">
        <f t="shared" si="0"/>
        <v>6.3333333333333339E-2</v>
      </c>
      <c r="Z12" s="4">
        <f t="shared" si="0"/>
        <v>6.6666666666666666E-2</v>
      </c>
      <c r="AA12" s="4">
        <f t="shared" si="0"/>
        <v>6.9999999999999993E-2</v>
      </c>
      <c r="AB12" s="4">
        <f t="shared" si="0"/>
        <v>7.333333333333332E-2</v>
      </c>
      <c r="AC12" s="4">
        <f t="shared" si="0"/>
        <v>7.6666666666666647E-2</v>
      </c>
      <c r="AD12" s="4">
        <f t="shared" si="0"/>
        <v>7.9999999999999974E-2</v>
      </c>
      <c r="AE12" s="4">
        <f t="shared" si="0"/>
        <v>8.3333333333333301E-2</v>
      </c>
      <c r="AF12" s="4">
        <f t="shared" si="0"/>
        <v>8.6666666666666628E-2</v>
      </c>
      <c r="AG12" s="4">
        <f t="shared" si="0"/>
        <v>8.9999999999999955E-2</v>
      </c>
      <c r="AH12" s="4">
        <f t="shared" si="0"/>
        <v>9.3333333333333282E-2</v>
      </c>
      <c r="AI12" s="4">
        <f t="shared" si="0"/>
        <v>9.6666666666666609E-2</v>
      </c>
      <c r="AJ12" s="4">
        <f t="shared" si="0"/>
        <v>9.9999999999999936E-2</v>
      </c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</row>
    <row r="13" spans="2:65" x14ac:dyDescent="0.3">
      <c r="B13" s="5" t="s">
        <v>9</v>
      </c>
      <c r="C13" s="5">
        <v>100</v>
      </c>
      <c r="E13" t="s">
        <v>7</v>
      </c>
      <c r="F13" s="1">
        <v>300</v>
      </c>
      <c r="G13" s="1">
        <v>280.20114262798575</v>
      </c>
      <c r="H13" s="1">
        <v>260.57053452366904</v>
      </c>
      <c r="I13" s="1">
        <v>241.27335396752636</v>
      </c>
      <c r="J13" s="1">
        <v>222.46874067679317</v>
      </c>
      <c r="K13" s="1">
        <v>204.30702925674697</v>
      </c>
      <c r="L13" s="1">
        <v>186.92727013670742</v>
      </c>
      <c r="M13" s="1">
        <v>170.45510875086381</v>
      </c>
      <c r="N13" s="1">
        <v>155.00107463428773</v>
      </c>
      <c r="O13" s="1">
        <v>140.65931099015722</v>
      </c>
      <c r="P13" s="1">
        <v>127.5067536180474</v>
      </c>
      <c r="Q13" s="1">
        <v>115.60274732960713</v>
      </c>
      <c r="R13" s="1">
        <v>104.98906943559072</v>
      </c>
      <c r="S13" s="1">
        <v>95.690314648076594</v>
      </c>
      <c r="T13" s="1">
        <v>87.714584570723446</v>
      </c>
      <c r="U13" s="1">
        <v>81.054418255410752</v>
      </c>
      <c r="V13" s="1">
        <v>75.68789812172092</v>
      </c>
      <c r="W13" s="1">
        <v>71.579867553261167</v>
      </c>
      <c r="X13" s="1">
        <v>68.68320209085141</v>
      </c>
      <c r="Y13" s="1">
        <v>66.940084503407604</v>
      </c>
      <c r="Z13" s="1">
        <v>66.283244166503039</v>
      </c>
      <c r="AA13" s="1">
        <v>66.637132112902975</v>
      </c>
      <c r="AB13" s="1">
        <v>67.919013891339318</v>
      </c>
      <c r="AC13" s="1">
        <v>70.039972168091296</v>
      </c>
      <c r="AD13" s="1">
        <v>72.905819217013814</v>
      </c>
      <c r="AE13" s="1">
        <v>76.417925689672472</v>
      </c>
      <c r="AF13" s="1">
        <v>80.473976208137344</v>
      </c>
      <c r="AG13" s="1">
        <v>84.968664482862408</v>
      </c>
      <c r="AH13" s="1">
        <v>89.794341128753075</v>
      </c>
      <c r="AI13" s="1">
        <v>94.841626578966242</v>
      </c>
      <c r="AJ13" s="1">
        <v>100</v>
      </c>
    </row>
    <row r="14" spans="2:65" x14ac:dyDescent="0.3">
      <c r="G14" s="1"/>
    </row>
    <row r="15" spans="2:65" x14ac:dyDescent="0.3">
      <c r="B15" t="s">
        <v>11</v>
      </c>
      <c r="C15">
        <f>C10/(C4^2)</f>
        <v>4139999.9999999991</v>
      </c>
      <c r="E15" t="s">
        <v>10</v>
      </c>
      <c r="G15">
        <f>G18*H15+G19</f>
        <v>280.28451209215399</v>
      </c>
      <c r="H15">
        <f t="shared" ref="H15:AI15" si="1">H18*I15+H19</f>
        <v>260.73576311264441</v>
      </c>
      <c r="I15">
        <f t="shared" si="1"/>
        <v>241.51747131108542</v>
      </c>
      <c r="J15">
        <f t="shared" si="1"/>
        <v>222.78741419664442</v>
      </c>
      <c r="K15">
        <f t="shared" si="1"/>
        <v>204.69470412190589</v>
      </c>
      <c r="L15">
        <f t="shared" si="1"/>
        <v>187.37734377748521</v>
      </c>
      <c r="M15">
        <f t="shared" si="1"/>
        <v>170.96013071462008</v>
      </c>
      <c r="N15">
        <f t="shared" si="1"/>
        <v>155.55296157926747</v>
      </c>
      <c r="O15">
        <f t="shared" si="1"/>
        <v>141.24956633387433</v>
      </c>
      <c r="P15">
        <f t="shared" si="1"/>
        <v>128.12668177591533</v>
      </c>
      <c r="Q15">
        <f t="shared" si="1"/>
        <v>116.24365353369214</v>
      </c>
      <c r="R15">
        <f t="shared" si="1"/>
        <v>105.64243769963892</v>
      </c>
      <c r="S15">
        <f t="shared" si="1"/>
        <v>96.347958393682063</v>
      </c>
      <c r="T15">
        <f t="shared" si="1"/>
        <v>88.368766578936132</v>
      </c>
      <c r="U15">
        <f t="shared" si="1"/>
        <v>81.697938780615559</v>
      </c>
      <c r="V15">
        <f t="shared" si="1"/>
        <v>76.314152032704555</v>
      </c>
      <c r="W15">
        <f t="shared" si="1"/>
        <v>72.182873106760752</v>
      </c>
      <c r="X15">
        <f t="shared" si="1"/>
        <v>69.257605287816148</v>
      </c>
      <c r="Y15">
        <f t="shared" si="1"/>
        <v>67.481143862800991</v>
      </c>
      <c r="Z15">
        <f t="shared" si="1"/>
        <v>66.786801156572579</v>
      </c>
      <c r="AA15">
        <f t="shared" si="1"/>
        <v>67.099572430483207</v>
      </c>
      <c r="AB15">
        <f t="shared" si="1"/>
        <v>68.337224339554268</v>
      </c>
      <c r="AC15">
        <f t="shared" si="1"/>
        <v>70.411297145055215</v>
      </c>
      <c r="AD15">
        <f t="shared" si="1"/>
        <v>73.228019904484</v>
      </c>
      <c r="AE15">
        <f t="shared" si="1"/>
        <v>76.689144038853158</v>
      </c>
      <c r="AF15">
        <f t="shared" si="1"/>
        <v>80.692704871583686</v>
      </c>
      <c r="AG15">
        <f t="shared" si="1"/>
        <v>85.13372303120687</v>
      </c>
      <c r="AH15">
        <f t="shared" si="1"/>
        <v>89.904858287518977</v>
      </c>
      <c r="AI15">
        <f t="shared" si="1"/>
        <v>94.897027861362858</v>
      </c>
      <c r="AJ15">
        <v>100</v>
      </c>
    </row>
    <row r="16" spans="2:65" x14ac:dyDescent="0.3">
      <c r="B16" t="s">
        <v>12</v>
      </c>
      <c r="C16">
        <f>2*C10/(C4^2)+C9*C8/C5</f>
        <v>16559999.999999996</v>
      </c>
      <c r="E16" t="s">
        <v>14</v>
      </c>
      <c r="F16">
        <v>92000</v>
      </c>
      <c r="G16">
        <f>-$C$10*((G13-F13)/$C$4)</f>
        <v>273224.23173379671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f>U20*V16+U21</f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</row>
    <row r="17" spans="2:35" x14ac:dyDescent="0.3">
      <c r="B17" t="s">
        <v>13</v>
      </c>
      <c r="C17">
        <f>C15</f>
        <v>4139999.9999999991</v>
      </c>
    </row>
    <row r="18" spans="2:35" x14ac:dyDescent="0.3">
      <c r="E18" t="s">
        <v>16</v>
      </c>
      <c r="F18">
        <v>0</v>
      </c>
      <c r="G18">
        <f t="shared" ref="G18:AI18" si="2">$C$15/($C$16-$C$17*F18)</f>
        <v>0.25</v>
      </c>
      <c r="H18">
        <f t="shared" si="2"/>
        <v>0.26666666666666666</v>
      </c>
      <c r="I18">
        <f t="shared" si="2"/>
        <v>0.26785714285714285</v>
      </c>
      <c r="J18">
        <f t="shared" si="2"/>
        <v>0.26794258373205743</v>
      </c>
      <c r="K18">
        <f t="shared" si="2"/>
        <v>0.26794871794871794</v>
      </c>
      <c r="L18">
        <f t="shared" si="2"/>
        <v>0.26794915836482308</v>
      </c>
      <c r="M18">
        <f t="shared" si="2"/>
        <v>0.26794918998527245</v>
      </c>
      <c r="N18">
        <f t="shared" si="2"/>
        <v>0.26794919225551855</v>
      </c>
      <c r="O18">
        <f t="shared" si="2"/>
        <v>0.26794919241851489</v>
      </c>
      <c r="P18">
        <f t="shared" si="2"/>
        <v>0.26794919243021753</v>
      </c>
      <c r="Q18">
        <f t="shared" si="2"/>
        <v>0.26794919243105775</v>
      </c>
      <c r="R18">
        <f t="shared" si="2"/>
        <v>0.26794919243111803</v>
      </c>
      <c r="S18">
        <f t="shared" si="2"/>
        <v>0.26794919243112236</v>
      </c>
      <c r="T18">
        <f t="shared" si="2"/>
        <v>0.2679491924311227</v>
      </c>
      <c r="U18">
        <f t="shared" si="2"/>
        <v>0.2679491924311227</v>
      </c>
      <c r="V18">
        <f t="shared" si="2"/>
        <v>0.2679491924311227</v>
      </c>
      <c r="W18">
        <f t="shared" si="2"/>
        <v>0.2679491924311227</v>
      </c>
      <c r="X18">
        <f t="shared" si="2"/>
        <v>0.2679491924311227</v>
      </c>
      <c r="Y18">
        <f t="shared" si="2"/>
        <v>0.2679491924311227</v>
      </c>
      <c r="Z18">
        <f t="shared" si="2"/>
        <v>0.2679491924311227</v>
      </c>
      <c r="AA18">
        <f t="shared" si="2"/>
        <v>0.2679491924311227</v>
      </c>
      <c r="AB18">
        <f t="shared" si="2"/>
        <v>0.2679491924311227</v>
      </c>
      <c r="AC18">
        <f t="shared" si="2"/>
        <v>0.2679491924311227</v>
      </c>
      <c r="AD18">
        <f t="shared" si="2"/>
        <v>0.2679491924311227</v>
      </c>
      <c r="AE18">
        <f t="shared" si="2"/>
        <v>0.2679491924311227</v>
      </c>
      <c r="AF18">
        <f t="shared" si="2"/>
        <v>0.2679491924311227</v>
      </c>
      <c r="AG18">
        <f t="shared" si="2"/>
        <v>0.2679491924311227</v>
      </c>
      <c r="AH18">
        <f t="shared" si="2"/>
        <v>0.2679491924311227</v>
      </c>
      <c r="AI18">
        <f t="shared" si="2"/>
        <v>0.2679491924311227</v>
      </c>
    </row>
    <row r="19" spans="2:35" x14ac:dyDescent="0.3">
      <c r="E19" t="s">
        <v>17</v>
      </c>
      <c r="F19">
        <f>F13</f>
        <v>300</v>
      </c>
      <c r="G19">
        <f>(F19*$C$17-G20)/($C$16-$C$17*F18)</f>
        <v>215.1005713139929</v>
      </c>
      <c r="H19">
        <f t="shared" ref="H19:AI19" si="3">(G19*$C$17-H20)/($C$16-$C$17*G18)</f>
        <v>196.33110409635498</v>
      </c>
      <c r="I19">
        <f t="shared" si="3"/>
        <v>181.84227107984137</v>
      </c>
      <c r="J19">
        <f t="shared" si="3"/>
        <v>167.94098629795192</v>
      </c>
      <c r="K19">
        <f t="shared" si="3"/>
        <v>154.48718508409254</v>
      </c>
      <c r="L19">
        <f t="shared" si="3"/>
        <v>141.56872063856261</v>
      </c>
      <c r="M19">
        <f t="shared" si="3"/>
        <v>129.27984065964515</v>
      </c>
      <c r="N19">
        <f t="shared" si="3"/>
        <v>117.70525437366356</v>
      </c>
      <c r="O19">
        <f t="shared" si="3"/>
        <v>106.91812542475377</v>
      </c>
      <c r="P19">
        <f t="shared" si="3"/>
        <v>96.979288686424511</v>
      </c>
      <c r="Q19">
        <f t="shared" si="3"/>
        <v>87.936847665625564</v>
      </c>
      <c r="R19">
        <f t="shared" si="3"/>
        <v>79.826080055664846</v>
      </c>
      <c r="S19">
        <f t="shared" si="3"/>
        <v>72.669618752721775</v>
      </c>
      <c r="T19">
        <f t="shared" si="3"/>
        <v>66.477869859382892</v>
      </c>
      <c r="U19">
        <f t="shared" si="3"/>
        <v>61.249623372386452</v>
      </c>
      <c r="V19">
        <f t="shared" si="3"/>
        <v>56.972809476389799</v>
      </c>
      <c r="W19">
        <f t="shared" si="3"/>
        <v>53.625353700176966</v>
      </c>
      <c r="X19">
        <f t="shared" si="3"/>
        <v>51.176087285450215</v>
      </c>
      <c r="Y19">
        <f t="shared" si="3"/>
        <v>49.585674427839393</v>
      </c>
      <c r="Z19">
        <f t="shared" si="3"/>
        <v>48.807524911350974</v>
      </c>
      <c r="AA19">
        <f t="shared" si="3"/>
        <v>48.788668355715174</v>
      </c>
      <c r="AB19">
        <f t="shared" si="3"/>
        <v>49.470574131508911</v>
      </c>
      <c r="AC19">
        <f t="shared" si="3"/>
        <v>50.789908348318555</v>
      </c>
      <c r="AD19">
        <f t="shared" si="3"/>
        <v>52.679225691039257</v>
      </c>
      <c r="AE19">
        <f t="shared" si="3"/>
        <v>55.067598933429394</v>
      </c>
      <c r="AF19">
        <f t="shared" si="3"/>
        <v>57.881192536716931</v>
      </c>
      <c r="AG19">
        <f t="shared" si="3"/>
        <v>61.043788857431636</v>
      </c>
      <c r="AH19">
        <f t="shared" si="3"/>
        <v>64.477276307953048</v>
      </c>
      <c r="AI19">
        <f t="shared" si="3"/>
        <v>68.102108618250597</v>
      </c>
    </row>
    <row r="20" spans="2:35" x14ac:dyDescent="0.3">
      <c r="E20" t="s">
        <v>15</v>
      </c>
      <c r="F20" s="1">
        <f>-(($C$9*$C$8)/$C$5)*F13</f>
        <v>-2483999999.9999995</v>
      </c>
      <c r="G20" s="1">
        <f t="shared" ref="G20:AI20" si="4">-(($C$9*$C$8)/$C$5)*G13</f>
        <v>-2320065460.9597216</v>
      </c>
      <c r="H20" s="1">
        <f t="shared" si="4"/>
        <v>-2157524025.8559794</v>
      </c>
      <c r="I20" s="1">
        <f t="shared" si="4"/>
        <v>-1997743370.8511181</v>
      </c>
      <c r="J20" s="1">
        <f t="shared" si="4"/>
        <v>-1842041172.8038473</v>
      </c>
      <c r="K20" s="1">
        <f t="shared" si="4"/>
        <v>-1691662202.2458646</v>
      </c>
      <c r="L20" s="1">
        <f t="shared" si="4"/>
        <v>-1547757796.7319372</v>
      </c>
      <c r="M20" s="1">
        <f t="shared" si="4"/>
        <v>-1411368300.4571521</v>
      </c>
      <c r="N20" s="1">
        <f t="shared" si="4"/>
        <v>-1283408897.9719024</v>
      </c>
      <c r="O20" s="1">
        <f t="shared" si="4"/>
        <v>-1164659094.9985018</v>
      </c>
      <c r="P20" s="1">
        <f t="shared" si="4"/>
        <v>-1055755919.9574324</v>
      </c>
      <c r="Q20" s="1">
        <f t="shared" si="4"/>
        <v>-957190747.88914692</v>
      </c>
      <c r="R20" s="1">
        <f t="shared" si="4"/>
        <v>-869309494.92669106</v>
      </c>
      <c r="S20" s="1">
        <f t="shared" si="4"/>
        <v>-792315805.28607416</v>
      </c>
      <c r="T20" s="1">
        <f t="shared" si="4"/>
        <v>-726276760.24559009</v>
      </c>
      <c r="U20" s="1">
        <f t="shared" si="4"/>
        <v>-671130583.15480101</v>
      </c>
      <c r="V20" s="1">
        <f t="shared" si="4"/>
        <v>-626695796.44784915</v>
      </c>
      <c r="W20" s="1">
        <f t="shared" si="4"/>
        <v>-592681303.34100235</v>
      </c>
      <c r="X20" s="1">
        <f t="shared" si="4"/>
        <v>-568696913.31224966</v>
      </c>
      <c r="Y20" s="1">
        <f t="shared" si="4"/>
        <v>-554263899.6882149</v>
      </c>
      <c r="Z20" s="1">
        <f t="shared" si="4"/>
        <v>-548825261.69864511</v>
      </c>
      <c r="AA20" s="1">
        <f t="shared" si="4"/>
        <v>-551755453.89483654</v>
      </c>
      <c r="AB20" s="1">
        <f t="shared" si="4"/>
        <v>-562369435.02028954</v>
      </c>
      <c r="AC20" s="1">
        <f t="shared" si="4"/>
        <v>-579930969.55179584</v>
      </c>
      <c r="AD20" s="1">
        <f t="shared" si="4"/>
        <v>-603660183.11687434</v>
      </c>
      <c r="AE20" s="1">
        <f t="shared" si="4"/>
        <v>-632740424.71048796</v>
      </c>
      <c r="AF20" s="1">
        <f t="shared" si="4"/>
        <v>-666324523.00337708</v>
      </c>
      <c r="AG20" s="1">
        <f t="shared" si="4"/>
        <v>-703540541.91810071</v>
      </c>
      <c r="AH20" s="1">
        <f t="shared" si="4"/>
        <v>-743497144.54607534</v>
      </c>
      <c r="AI20" s="1">
        <f t="shared" si="4"/>
        <v>-785288668.07384038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2021-09-22T21:42:14Z</dcterms:created>
  <dcterms:modified xsi:type="dcterms:W3CDTF">2021-10-25T12:28:59Z</dcterms:modified>
</cp:coreProperties>
</file>